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D16391C-E219-4B13-8F43-4DA392D93F46}" xr6:coauthVersionLast="47" xr6:coauthVersionMax="47" xr10:uidLastSave="{00000000-0000-0000-0000-000000000000}"/>
  <bookViews>
    <workbookView xWindow="-108" yWindow="-108" windowWidth="23256" windowHeight="12456" xr2:uid="{52EC3E94-9D64-47AB-9E12-8E81B33A8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  <c r="G3" i="1"/>
  <c r="G4" i="1"/>
  <c r="G2" i="1"/>
  <c r="I3" i="1"/>
  <c r="I4" i="1"/>
  <c r="I2" i="1"/>
  <c r="H3" i="1"/>
  <c r="H4" i="1"/>
  <c r="H2" i="1"/>
  <c r="F3" i="1"/>
  <c r="F4" i="1"/>
  <c r="F2" i="1"/>
  <c r="E3" i="1"/>
  <c r="E4" i="1"/>
  <c r="E2" i="1"/>
</calcChain>
</file>

<file path=xl/sharedStrings.xml><?xml version="1.0" encoding="utf-8"?>
<sst xmlns="http://schemas.openxmlformats.org/spreadsheetml/2006/main" count="15" uniqueCount="14">
  <si>
    <t>class</t>
  </si>
  <si>
    <t>TP</t>
  </si>
  <si>
    <t>FP</t>
  </si>
  <si>
    <t>FN</t>
  </si>
  <si>
    <t>Recall</t>
  </si>
  <si>
    <t>Precision</t>
  </si>
  <si>
    <t>Fp per image</t>
  </si>
  <si>
    <t>Recall missing object rate</t>
  </si>
  <si>
    <t>False positive propotion</t>
  </si>
  <si>
    <t>F-1</t>
  </si>
  <si>
    <t>377 39 23 561 1 1 304 35 46 615 2 2 238 7 12 743</t>
  </si>
  <si>
    <t>Low Risk</t>
  </si>
  <si>
    <t>Medium Risk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</si>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</sst>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color rgb="FFE3E3E3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6DD41-CE51-41BA-89EB-719F6B41D2D3}">
  <dimension ref="A1:N4"/>
  <sheetViews>
    <sheetView tabSelected="1" workbookViewId="0">
      <selection activeCell="D6" sqref="D6"/>
    </sheetView>
  </sheetViews>
  <sheetFormatPr defaultRowHeight="13.8" x14ac:dyDescent="0.25"/>
  <cols>
    <col min="1" max="16384" width="8.796875" style="1"/>
  </cols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4" x14ac:dyDescent="0.25">
      <c r="A2" s="3" t="s">
        <v>11</v>
      </c>
      <c r="B2" s="3">
        <v>377</v>
      </c>
      <c r="C2" s="3">
        <v>39</v>
      </c>
      <c r="D2" s="3">
        <v>23</v>
      </c>
      <c r="E2" s="4">
        <f>B2/SUM(B2+D2)</f>
        <v>0.9425</v>
      </c>
      <c r="F2" s="4">
        <f>B2/(B2+C2)</f>
        <v>0.90625</v>
      </c>
      <c r="G2" s="4">
        <f>C2/1000</f>
        <v>3.9E-2</v>
      </c>
      <c r="H2" s="4">
        <f>1-E2</f>
        <v>5.7499999999999996E-2</v>
      </c>
      <c r="I2" s="4">
        <f>1-F2</f>
        <v>9.375E-2</v>
      </c>
      <c r="J2" s="4">
        <f>(2*B2)/((2*B2)+C2+D2)</f>
        <v>0.9240196078431373</v>
      </c>
    </row>
    <row r="3" spans="1:14" x14ac:dyDescent="0.25">
      <c r="A3" s="3" t="s">
        <v>12</v>
      </c>
      <c r="B3" s="3">
        <v>204</v>
      </c>
      <c r="C3" s="3">
        <v>35</v>
      </c>
      <c r="D3" s="3">
        <v>46</v>
      </c>
      <c r="E3" s="4">
        <f t="shared" ref="E3:E4" si="0">B3/SUM(B3+D3)</f>
        <v>0.81599999999999995</v>
      </c>
      <c r="F3" s="4">
        <f t="shared" ref="F3:F4" si="1">B3/(B3+C3)</f>
        <v>0.85355648535564854</v>
      </c>
      <c r="G3" s="4">
        <f t="shared" ref="G3:G4" si="2">C3/1000</f>
        <v>3.5000000000000003E-2</v>
      </c>
      <c r="H3" s="4">
        <f t="shared" ref="H3:H4" si="3">1-E3</f>
        <v>0.18400000000000005</v>
      </c>
      <c r="I3" s="4">
        <f t="shared" ref="I3:I4" si="4">1-F3</f>
        <v>0.14644351464435146</v>
      </c>
      <c r="J3" s="4">
        <f t="shared" ref="J3:J4" si="5">(2*B3)/((2*B3)+C3+D3)</f>
        <v>0.83435582822085885</v>
      </c>
      <c r="N3" s="2" t="s">
        <v>10</v>
      </c>
    </row>
    <row r="4" spans="1:14" x14ac:dyDescent="0.25">
      <c r="A4" s="3" t="s">
        <v>13</v>
      </c>
      <c r="B4" s="3">
        <v>338</v>
      </c>
      <c r="C4" s="3">
        <v>7</v>
      </c>
      <c r="D4" s="3">
        <v>12</v>
      </c>
      <c r="E4" s="4">
        <f t="shared" si="0"/>
        <v>0.96571428571428575</v>
      </c>
      <c r="F4" s="4">
        <f t="shared" si="1"/>
        <v>0.97971014492753628</v>
      </c>
      <c r="G4" s="4">
        <f t="shared" si="2"/>
        <v>7.0000000000000001E-3</v>
      </c>
      <c r="H4" s="4">
        <f t="shared" si="3"/>
        <v>3.4285714285714253E-2</v>
      </c>
      <c r="I4" s="4">
        <f t="shared" si="4"/>
        <v>2.0289855072463725E-2</v>
      </c>
      <c r="J4" s="4">
        <f t="shared" si="5"/>
        <v>0.97266187050359709</v>
      </c>
      <c r="N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uugg88 gg</dc:creator>
  <cp:lastModifiedBy>uugg88 gg</cp:lastModifiedBy>
  <dcterms:created xsi:type="dcterms:W3CDTF">2026-06-02T20:52:52Z</dcterms:created>
  <dcterms:modified xsi:type="dcterms:W3CDTF">2026-06-02T21:11:37Z</dcterms:modified>
</cp:coreProperties>
</file>